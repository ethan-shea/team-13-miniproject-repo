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dcl/Desktop/"/>
    </mc:Choice>
  </mc:AlternateContent>
  <xr:revisionPtr revIDLastSave="0" documentId="13_ncr:1_{955B6A57-B79A-7D44-9C08-A01E7F9F959C}" xr6:coauthVersionLast="47" xr6:coauthVersionMax="47" xr10:uidLastSave="{00000000-0000-0000-0000-000000000000}"/>
  <bookViews>
    <workbookView xWindow="15960" yWindow="2800" windowWidth="28040" windowHeight="17180" xr2:uid="{56416FF8-4D69-8146-9B01-E7918FE78E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10" i="1"/>
  <c r="G9" i="1"/>
  <c r="G8" i="1"/>
  <c r="G7" i="1"/>
  <c r="G3" i="1"/>
  <c r="G4" i="1"/>
  <c r="G2" i="1"/>
  <c r="G12" i="1" l="1"/>
</calcChain>
</file>

<file path=xl/sharedStrings.xml><?xml version="1.0" encoding="utf-8"?>
<sst xmlns="http://schemas.openxmlformats.org/spreadsheetml/2006/main" count="77" uniqueCount="46">
  <si>
    <t>Description</t>
  </si>
  <si>
    <t>Part No.</t>
  </si>
  <si>
    <t>QTY</t>
  </si>
  <si>
    <t>Total</t>
  </si>
  <si>
    <t>URL</t>
  </si>
  <si>
    <t>Alt source</t>
  </si>
  <si>
    <t>Index</t>
  </si>
  <si>
    <t>Seeed XIAO ESP32S3 pre-soldered</t>
  </si>
  <si>
    <t>https://www.seeedstudio.com/Seeed-Studio-XIAO-ESP32S3-Pre-Soldered-p-6334.html</t>
  </si>
  <si>
    <t>Alt URL</t>
  </si>
  <si>
    <t>Seeed (CA)</t>
  </si>
  <si>
    <t>Unit</t>
  </si>
  <si>
    <t>Digikey</t>
  </si>
  <si>
    <t>Vendor</t>
  </si>
  <si>
    <t>Battery holder 3 AAA cells</t>
  </si>
  <si>
    <t>1428-1151-ND</t>
  </si>
  <si>
    <t>Multi-color LED</t>
  </si>
  <si>
    <t>Breadboard</t>
  </si>
  <si>
    <t>1188-BREADBOARD-1-ND</t>
  </si>
  <si>
    <t>https://www.digikey.com/en/products/detail/adafruit-industries-llc/727/5353611</t>
  </si>
  <si>
    <t>https://www.digikey.com/en/products/detail/inolux/INL-5TB4URGB60/7604616</t>
  </si>
  <si>
    <t>1830-1014-ND</t>
  </si>
  <si>
    <t>Stepper motor</t>
  </si>
  <si>
    <t>1188-SM-5VDC-DRV-ND</t>
  </si>
  <si>
    <t>5536-L293DN-ND</t>
  </si>
  <si>
    <t>https://www.digikey.com/en/products/detail/taejin/L293DN/22237446</t>
  </si>
  <si>
    <t>Jumper wire kit</t>
  </si>
  <si>
    <t>Tactile breadboard switch</t>
  </si>
  <si>
    <t>EG2533CT-ND</t>
  </si>
  <si>
    <t>https://www.digikey.com/en/products/detail/CF14JT220R/CF14JT220RCT-ND/1830334</t>
  </si>
  <si>
    <t>CF14JT220RCT-ND</t>
  </si>
  <si>
    <t>Resistors 220 ohm</t>
  </si>
  <si>
    <t xml:space="preserve"> </t>
  </si>
  <si>
    <t>https://www.digikey.com/en/products/detail/seeed-technology-co-ltd/102010634/26553885</t>
  </si>
  <si>
    <t>https://www.digikey.com/en/products/detail/olimex-ltd/BREADBOARD-1/21662422</t>
  </si>
  <si>
    <t>https://www.digikey.com/en/products/detail/olimex-ltd/SM-5VDC-DRV/21662223</t>
  </si>
  <si>
    <t>https://www.digikey.com/en/products/detail/e-switch/TL59AF160Q/390534</t>
  </si>
  <si>
    <t xml:space="preserve">https://www.digikey.com/en/products/detail/global-specialties/WK-3/5231342 </t>
  </si>
  <si>
    <t>BKWK-3-ND</t>
  </si>
  <si>
    <t>1597-102010634-ND</t>
  </si>
  <si>
    <t>Motor driver</t>
  </si>
  <si>
    <t>Distribution</t>
  </si>
  <si>
    <t>Per student</t>
  </si>
  <si>
    <t>Per team</t>
  </si>
  <si>
    <t>Per student (2)</t>
  </si>
  <si>
    <t>Per student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</si>
</sst>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444444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olimex-ltd/BREADBOARD-1/21662422" TargetMode="External"/><Relationship Id="rId2" Type="http://schemas.openxmlformats.org/officeDocument/2006/relationships/hyperlink" Target="https://www.digikey.com/en/products/detail/seeed-technology-co-ltd/102010634/26553885" TargetMode="External"/><Relationship Id="rId1" Type="http://schemas.openxmlformats.org/officeDocument/2006/relationships/hyperlink" Target="https://www.digikey.com/en/products/detail/CF14JT220R/CF14JT220RCT-ND/1830334" TargetMode="External"/><Relationship Id="rId6" Type="http://schemas.openxmlformats.org/officeDocument/2006/relationships/hyperlink" Target="https://www.digikey.com/en/products/detail/global-specialties/WK-3/5231342" TargetMode="External"/><Relationship Id="rId5" Type="http://schemas.openxmlformats.org/officeDocument/2006/relationships/hyperlink" Target="https://www.digikey.com/en/products/detail/e-switch/TL59AF160Q/390534" TargetMode="External"/><Relationship Id="rId4" Type="http://schemas.openxmlformats.org/officeDocument/2006/relationships/hyperlink" Target="https://www.digikey.com/en/products/detail/olimex-ltd/SM-5VDC-DRV/21662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8E72-5E0E-6A4C-9B33-593A36CD0196}">
  <dimension ref="A1:L12"/>
  <sheetViews>
    <sheetView tabSelected="1" workbookViewId="0">
      <selection activeCell="B16" sqref="B16"/>
    </sheetView>
  </sheetViews>
  <sheetFormatPr baseColWidth="10" defaultRowHeight="16" x14ac:dyDescent="0.2"/>
  <cols>
    <col min="1" max="1" width="5.5" style="1" bestFit="1" customWidth="1"/>
    <col min="2" max="2" width="15" style="1" customWidth="1"/>
    <col min="3" max="3" width="28.83203125" style="1" bestFit="1" customWidth="1"/>
    <col min="4" max="4" width="22.83203125" style="1" bestFit="1" customWidth="1"/>
    <col min="5" max="6" width="8.1640625" style="1" bestFit="1" customWidth="1"/>
    <col min="7" max="7" width="7.1640625" style="1" bestFit="1" customWidth="1"/>
    <col min="8" max="8" width="10.83203125" style="1"/>
    <col min="9" max="9" width="26.6640625" style="1" customWidth="1"/>
    <col min="10" max="10" width="10.1640625" style="1" bestFit="1" customWidth="1"/>
    <col min="11" max="11" width="22" style="1" customWidth="1"/>
    <col min="12" max="16384" width="10.83203125" style="1"/>
  </cols>
  <sheetData>
    <row r="1" spans="1:12" s="4" customFormat="1" x14ac:dyDescent="0.2">
      <c r="A1" s="4" t="s">
        <v>6</v>
      </c>
      <c r="B1" s="4" t="s">
        <v>41</v>
      </c>
      <c r="C1" s="4" t="s">
        <v>0</v>
      </c>
      <c r="D1" s="4" t="s">
        <v>1</v>
      </c>
      <c r="E1" s="4" t="s">
        <v>2</v>
      </c>
      <c r="F1" s="4" t="s">
        <v>11</v>
      </c>
      <c r="G1" s="4" t="s">
        <v>3</v>
      </c>
      <c r="H1" s="4" t="s">
        <v>13</v>
      </c>
      <c r="I1" s="4" t="s">
        <v>4</v>
      </c>
      <c r="J1" s="4" t="s">
        <v>5</v>
      </c>
      <c r="K1" s="4" t="s">
        <v>9</v>
      </c>
      <c r="L1" s="4" t="s">
        <v>32</v>
      </c>
    </row>
    <row r="2" spans="1:12" x14ac:dyDescent="0.2">
      <c r="A2" s="1">
        <v>1</v>
      </c>
      <c r="B2" s="1" t="s">
        <v>42</v>
      </c>
      <c r="C2" s="1" t="s">
        <v>7</v>
      </c>
      <c r="D2" s="1" t="s">
        <v>39</v>
      </c>
      <c r="E2" s="1">
        <v>160</v>
      </c>
      <c r="F2" s="1">
        <v>8.49</v>
      </c>
      <c r="G2" s="1">
        <f>E2*F2</f>
        <v>1358.4</v>
      </c>
      <c r="H2" s="1" t="s">
        <v>12</v>
      </c>
      <c r="I2" s="2" t="s">
        <v>33</v>
      </c>
      <c r="J2" s="1" t="s">
        <v>10</v>
      </c>
      <c r="K2" s="1" t="s">
        <v>8</v>
      </c>
      <c r="L2" s="1" t="s">
        <v>32</v>
      </c>
    </row>
    <row r="3" spans="1:12" x14ac:dyDescent="0.2">
      <c r="A3" s="1">
        <v>2</v>
      </c>
      <c r="B3" s="1" t="s">
        <v>42</v>
      </c>
      <c r="C3" s="1" t="s">
        <v>16</v>
      </c>
      <c r="D3" s="3" t="s">
        <v>21</v>
      </c>
      <c r="E3" s="1">
        <v>200</v>
      </c>
      <c r="F3" s="1">
        <v>0.59</v>
      </c>
      <c r="G3" s="1">
        <f>E3*F3</f>
        <v>118</v>
      </c>
      <c r="H3" s="1" t="s">
        <v>12</v>
      </c>
      <c r="I3" s="1" t="s">
        <v>20</v>
      </c>
      <c r="J3" s="1" t="s">
        <v>32</v>
      </c>
      <c r="L3" s="1" t="s">
        <v>32</v>
      </c>
    </row>
    <row r="4" spans="1:12" x14ac:dyDescent="0.2">
      <c r="A4" s="1">
        <v>3</v>
      </c>
      <c r="B4" s="1" t="s">
        <v>42</v>
      </c>
      <c r="C4" s="1" t="s">
        <v>17</v>
      </c>
      <c r="D4" s="3" t="s">
        <v>18</v>
      </c>
      <c r="E4" s="1">
        <v>160</v>
      </c>
      <c r="F4" s="1">
        <v>2.0499999999999998</v>
      </c>
      <c r="G4" s="1">
        <f>E4*F4</f>
        <v>328</v>
      </c>
      <c r="H4" s="1" t="s">
        <v>12</v>
      </c>
      <c r="I4" s="2" t="s">
        <v>34</v>
      </c>
      <c r="J4" s="1" t="s">
        <v>32</v>
      </c>
      <c r="L4" s="1" t="s">
        <v>32</v>
      </c>
    </row>
    <row r="5" spans="1:12" x14ac:dyDescent="0.2">
      <c r="A5" s="1">
        <v>4</v>
      </c>
      <c r="B5" s="1" t="s">
        <v>44</v>
      </c>
      <c r="C5" s="1" t="s">
        <v>27</v>
      </c>
      <c r="D5" s="3" t="s">
        <v>28</v>
      </c>
      <c r="E5" s="1">
        <v>250</v>
      </c>
      <c r="F5" s="1">
        <v>0.20452000000000001</v>
      </c>
      <c r="G5" s="1">
        <f>E5*F5</f>
        <v>51.13</v>
      </c>
      <c r="H5" s="1" t="s">
        <v>12</v>
      </c>
      <c r="I5" s="2" t="s">
        <v>36</v>
      </c>
      <c r="J5" s="1" t="s">
        <v>32</v>
      </c>
      <c r="L5" s="1" t="s">
        <v>32</v>
      </c>
    </row>
    <row r="6" spans="1:12" x14ac:dyDescent="0.2">
      <c r="A6" s="1">
        <v>5</v>
      </c>
      <c r="B6" s="1" t="s">
        <v>45</v>
      </c>
      <c r="C6" s="1" t="s">
        <v>31</v>
      </c>
      <c r="D6" s="3" t="s">
        <v>30</v>
      </c>
      <c r="E6" s="1">
        <v>1000</v>
      </c>
      <c r="F6" s="1">
        <v>1.2579999999999999E-2</v>
      </c>
      <c r="G6" s="1">
        <f>F6*E6</f>
        <v>12.579999999999998</v>
      </c>
      <c r="H6" s="1" t="s">
        <v>12</v>
      </c>
      <c r="I6" s="2" t="s">
        <v>29</v>
      </c>
      <c r="J6" s="1" t="s">
        <v>32</v>
      </c>
      <c r="L6" s="1" t="s">
        <v>32</v>
      </c>
    </row>
    <row r="7" spans="1:12" x14ac:dyDescent="0.2">
      <c r="A7" s="1">
        <v>6</v>
      </c>
      <c r="B7" s="1" t="s">
        <v>43</v>
      </c>
      <c r="C7" s="1" t="s">
        <v>14</v>
      </c>
      <c r="D7" s="1" t="s">
        <v>15</v>
      </c>
      <c r="E7" s="1">
        <v>40</v>
      </c>
      <c r="F7" s="1">
        <v>1.95</v>
      </c>
      <c r="G7" s="1">
        <f>E7*F7</f>
        <v>78</v>
      </c>
      <c r="H7" s="1" t="s">
        <v>12</v>
      </c>
      <c r="I7" s="1" t="s">
        <v>19</v>
      </c>
      <c r="J7" s="1" t="s">
        <v>32</v>
      </c>
      <c r="L7" s="1" t="s">
        <v>32</v>
      </c>
    </row>
    <row r="8" spans="1:12" x14ac:dyDescent="0.2">
      <c r="A8" s="1">
        <v>7</v>
      </c>
      <c r="B8" s="1" t="s">
        <v>43</v>
      </c>
      <c r="C8" s="1" t="s">
        <v>22</v>
      </c>
      <c r="D8" s="3" t="s">
        <v>23</v>
      </c>
      <c r="E8" s="1">
        <v>40</v>
      </c>
      <c r="F8" s="1">
        <v>2.93</v>
      </c>
      <c r="G8" s="1">
        <f>E8*F8</f>
        <v>117.2</v>
      </c>
      <c r="H8" s="1" t="s">
        <v>12</v>
      </c>
      <c r="I8" s="2" t="s">
        <v>35</v>
      </c>
      <c r="J8" s="1" t="s">
        <v>32</v>
      </c>
      <c r="L8" s="1" t="s">
        <v>32</v>
      </c>
    </row>
    <row r="9" spans="1:12" x14ac:dyDescent="0.2">
      <c r="A9" s="1">
        <v>8</v>
      </c>
      <c r="B9" s="1" t="s">
        <v>43</v>
      </c>
      <c r="C9" s="1" t="s">
        <v>40</v>
      </c>
      <c r="D9" s="3" t="s">
        <v>24</v>
      </c>
      <c r="E9" s="1">
        <v>100</v>
      </c>
      <c r="F9" s="1">
        <v>1.73</v>
      </c>
      <c r="G9" s="1">
        <f>E9*F9</f>
        <v>173</v>
      </c>
      <c r="H9" s="1" t="s">
        <v>12</v>
      </c>
      <c r="I9" s="1" t="s">
        <v>25</v>
      </c>
      <c r="J9" s="1" t="s">
        <v>32</v>
      </c>
      <c r="L9" s="1" t="s">
        <v>32</v>
      </c>
    </row>
    <row r="10" spans="1:12" x14ac:dyDescent="0.2">
      <c r="A10" s="1">
        <v>9</v>
      </c>
      <c r="B10" s="1" t="s">
        <v>43</v>
      </c>
      <c r="C10" s="1" t="s">
        <v>26</v>
      </c>
      <c r="D10" s="3" t="s">
        <v>38</v>
      </c>
      <c r="E10" s="1">
        <v>40</v>
      </c>
      <c r="F10" s="1">
        <v>5.6</v>
      </c>
      <c r="G10" s="1">
        <f>E10*F10</f>
        <v>224</v>
      </c>
      <c r="H10" s="1" t="s">
        <v>12</v>
      </c>
      <c r="I10" s="2" t="s">
        <v>37</v>
      </c>
      <c r="J10" s="1" t="s">
        <v>32</v>
      </c>
      <c r="L10" s="1" t="s">
        <v>32</v>
      </c>
    </row>
    <row r="12" spans="1:12" x14ac:dyDescent="0.2">
      <c r="C12" s="1" t="s">
        <v>3</v>
      </c>
      <c r="G12" s="1">
        <f>SUM(G2:G10)</f>
        <v>2460.31</v>
      </c>
    </row>
  </sheetData>
  <sortState xmlns:xlrd2="http://schemas.microsoft.com/office/spreadsheetml/2017/richdata2" ref="A2:K11">
    <sortCondition ref="B2:B11"/>
  </sortState>
  <hyperlinks>
    <hyperlink ref="I6" r:id="rId1" xr:uid="{3B58E87E-3573-F244-8310-24865DD447D2}"/>
    <hyperlink ref="I2" r:id="rId2" xr:uid="{854E7528-5A5E-D94B-9732-E910DCC51529}"/>
    <hyperlink ref="I4" r:id="rId3" xr:uid="{6C2A859F-54D8-E34C-8FE5-8F6765E85AB8}"/>
    <hyperlink ref="I8" r:id="rId4" xr:uid="{DC7A6B0B-189A-7F4D-B241-8A6DB44EF6E0}"/>
    <hyperlink ref="I5" r:id="rId5" xr:uid="{D0C741C0-CAC4-0E4C-A46C-9DB9F929197B}"/>
    <hyperlink ref="I10" r:id="rId6" xr:uid="{07AEDA81-9832-DD45-BB2A-6EDCCC00CF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Little, Thomas</dc:creator>
  <cp:lastModifiedBy>Little, Thomas</cp:lastModifiedBy>
  <dcterms:created xsi:type="dcterms:W3CDTF">2026-07-15T11:07:45Z</dcterms:created>
  <dcterms:modified xsi:type="dcterms:W3CDTF">2026-07-15T12:45:55Z</dcterms:modified>
</cp:coreProperties>
</file>